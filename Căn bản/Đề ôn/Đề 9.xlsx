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NHJSpNOcI2HH71hLBuXhhOrKcTvc8XjIc51I5evRig="/>
    </ext>
  </extLst>
</workbook>
</file>

<file path=xl/sharedStrings.xml><?xml version="1.0" encoding="utf-8"?>
<sst xmlns="http://schemas.openxmlformats.org/spreadsheetml/2006/main" count="35" uniqueCount="35">
  <si>
    <t>STT</t>
  </si>
  <si>
    <t>MÃ SỐ KHÁCH HÀNG</t>
  </si>
  <si>
    <t>LOAI VÉ</t>
  </si>
  <si>
    <t>Số lượng</t>
  </si>
  <si>
    <t>Ngày bán</t>
  </si>
  <si>
    <t>Giá vé</t>
  </si>
  <si>
    <t>Khuyến mãi</t>
  </si>
  <si>
    <t>Đôí tượng</t>
  </si>
  <si>
    <t>Thành tiền</t>
  </si>
  <si>
    <t>Bảng 1</t>
  </si>
  <si>
    <t>C10TN</t>
  </si>
  <si>
    <t>MÃ MẶT HÀNG</t>
  </si>
  <si>
    <t>A</t>
  </si>
  <si>
    <t>B</t>
  </si>
  <si>
    <t>C</t>
  </si>
  <si>
    <t>B3TD</t>
  </si>
  <si>
    <t>Loại vé</t>
  </si>
  <si>
    <t>vé cổng</t>
  </si>
  <si>
    <t>Vé dịch vụ giải trí</t>
  </si>
  <si>
    <t>Vé combo</t>
  </si>
  <si>
    <t>C42SD</t>
  </si>
  <si>
    <t>Người lớn</t>
  </si>
  <si>
    <t>A55LN</t>
  </si>
  <si>
    <t>Trẻ em</t>
  </si>
  <si>
    <t>A3SD</t>
  </si>
  <si>
    <t>Học sinh, sinh viên</t>
  </si>
  <si>
    <t>B71SN</t>
  </si>
  <si>
    <t>A31TD</t>
  </si>
  <si>
    <t>A51SD</t>
  </si>
  <si>
    <t>B12SN</t>
  </si>
  <si>
    <t>C33LD</t>
  </si>
  <si>
    <t>1. Tính cột loại vé biết ký tự đầu của mã hàng</t>
  </si>
  <si>
    <t>2. Tính cột khuyến mãi nếu ngày bán từ ngày 15 trở lên và ký tự số 4 là T hoặc S thì khuyến mãi 10% ngược lại không khuyến mãi</t>
  </si>
  <si>
    <t>3. Tính cột giá vé nếu ký tự thứ 4 là L thì sẽ lấy giá vé người lớn, ngược lại lấy giá vé sinh viên và trẻ em tương tự</t>
  </si>
  <si>
    <t>4. Tính cột thành tiền= Số lượng * Đơn giá -Khuyến mãi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</si>
</sst>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\ &quot;VNĐ&quot;"/>
  </numFmts>
  <fonts count="4">
    <font>
      <sz val="11.0"/>
      <color theme="1"/>
      <name val="Arial"/>
      <scheme val="minor"/>
    </font>
    <font>
      <sz val="11.0"/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0" fontId="1" numFmtId="14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1" fillId="0" fontId="1" numFmtId="164" xfId="0" applyBorder="1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9.38"/>
    <col customWidth="1" min="3" max="3" width="14.75"/>
    <col customWidth="1" min="4" max="4" width="8.38"/>
    <col customWidth="1" min="5" max="5" width="9.88"/>
    <col customWidth="1" min="6" max="6" width="6.88"/>
    <col customWidth="1" min="7" max="7" width="10.25"/>
    <col customWidth="1" min="8" max="8" width="9.13"/>
    <col customWidth="1" min="9" max="9" width="14.25"/>
    <col customWidth="1" min="10" max="11" width="8.63"/>
    <col customWidth="1" min="12" max="12" width="16.13"/>
    <col customWidth="1" min="13" max="13" width="7.25"/>
    <col customWidth="1" min="14" max="14" width="14.75"/>
    <col customWidth="1" min="15" max="15" width="8.75"/>
    <col customWidth="1" min="16" max="26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L1" s="2" t="s">
        <v>9</v>
      </c>
      <c r="M1" s="3"/>
      <c r="N1" s="3"/>
      <c r="O1" s="4"/>
    </row>
    <row r="2" ht="13.5" customHeight="1">
      <c r="A2" s="1">
        <f t="array" ref="A2:A11">SEQUENCE(10)</f>
        <v>1</v>
      </c>
      <c r="B2" s="1" t="s">
        <v>10</v>
      </c>
      <c r="C2" s="1"/>
      <c r="D2" s="1" t="str">
        <f t="shared" ref="D2:D11" si="1">MID(B2,2,LEN(B2)-3)</f>
        <v>10</v>
      </c>
      <c r="E2" s="5">
        <v>44885.0</v>
      </c>
      <c r="F2" s="6">
        <f t="shared" ref="F2:F11" si="2">HLOOKUP(LEFT(B2,1),$M$2:$O$6,IF(MID(B2,3,1)="L",3,IF(MID(B2,3,1)="T",4,5)),0)</f>
        <v>350000</v>
      </c>
      <c r="G2" s="1"/>
      <c r="H2" s="1"/>
      <c r="I2" s="7"/>
      <c r="J2" s="1"/>
      <c r="L2" s="1" t="s">
        <v>11</v>
      </c>
      <c r="M2" s="1" t="s">
        <v>12</v>
      </c>
      <c r="N2" s="1" t="s">
        <v>13</v>
      </c>
      <c r="O2" s="1" t="s">
        <v>14</v>
      </c>
    </row>
    <row r="3" ht="13.5" customHeight="1">
      <c r="A3" s="1">
        <v>2.0</v>
      </c>
      <c r="B3" s="1" t="s">
        <v>15</v>
      </c>
      <c r="C3" s="1"/>
      <c r="D3" s="1" t="str">
        <f t="shared" si="1"/>
        <v>3</v>
      </c>
      <c r="E3" s="5">
        <v>44877.0</v>
      </c>
      <c r="F3" s="6">
        <f t="shared" si="2"/>
        <v>20000</v>
      </c>
      <c r="G3" s="1"/>
      <c r="H3" s="1"/>
      <c r="I3" s="7"/>
      <c r="J3" s="1"/>
      <c r="L3" s="1" t="s">
        <v>16</v>
      </c>
      <c r="M3" s="1" t="s">
        <v>17</v>
      </c>
      <c r="N3" s="1" t="s">
        <v>18</v>
      </c>
      <c r="O3" s="1" t="s">
        <v>19</v>
      </c>
    </row>
    <row r="4" ht="13.5" customHeight="1">
      <c r="A4" s="1">
        <v>3.0</v>
      </c>
      <c r="B4" s="1" t="s">
        <v>20</v>
      </c>
      <c r="C4" s="1"/>
      <c r="D4" s="1" t="str">
        <f t="shared" si="1"/>
        <v>42</v>
      </c>
      <c r="E4" s="5">
        <v>44876.0</v>
      </c>
      <c r="F4" s="6">
        <f t="shared" si="2"/>
        <v>350000</v>
      </c>
      <c r="G4" s="1"/>
      <c r="H4" s="1"/>
      <c r="I4" s="7"/>
      <c r="J4" s="1"/>
      <c r="L4" s="1" t="s">
        <v>21</v>
      </c>
      <c r="M4" s="1">
        <v>170000.0</v>
      </c>
      <c r="N4" s="1">
        <v>35000.0</v>
      </c>
      <c r="O4" s="1">
        <v>450000.0</v>
      </c>
    </row>
    <row r="5" ht="13.5" customHeight="1">
      <c r="A5" s="1">
        <v>4.0</v>
      </c>
      <c r="B5" s="1" t="s">
        <v>22</v>
      </c>
      <c r="C5" s="1"/>
      <c r="D5" s="1" t="str">
        <f t="shared" si="1"/>
        <v>55</v>
      </c>
      <c r="E5" s="5">
        <v>44845.0</v>
      </c>
      <c r="F5" s="6">
        <f t="shared" si="2"/>
        <v>140000</v>
      </c>
      <c r="G5" s="1"/>
      <c r="H5" s="1"/>
      <c r="I5" s="7"/>
      <c r="J5" s="1"/>
      <c r="L5" s="1" t="s">
        <v>23</v>
      </c>
      <c r="M5" s="1">
        <v>120000.0</v>
      </c>
      <c r="N5" s="1">
        <v>20000.0</v>
      </c>
      <c r="O5" s="1">
        <v>300000.0</v>
      </c>
    </row>
    <row r="6" ht="13.5" customHeight="1">
      <c r="A6" s="1">
        <v>5.0</v>
      </c>
      <c r="B6" s="1" t="s">
        <v>24</v>
      </c>
      <c r="C6" s="1"/>
      <c r="D6" s="1" t="str">
        <f t="shared" si="1"/>
        <v>3</v>
      </c>
      <c r="E6" s="5">
        <v>44880.0</v>
      </c>
      <c r="F6" s="6">
        <f t="shared" si="2"/>
        <v>140000</v>
      </c>
      <c r="G6" s="1"/>
      <c r="H6" s="1"/>
      <c r="I6" s="7"/>
      <c r="J6" s="1"/>
      <c r="L6" s="1" t="s">
        <v>25</v>
      </c>
      <c r="M6" s="1">
        <v>140000.0</v>
      </c>
      <c r="N6" s="1">
        <v>25000.0</v>
      </c>
      <c r="O6" s="1">
        <v>350000.0</v>
      </c>
    </row>
    <row r="7" ht="13.5" customHeight="1">
      <c r="A7" s="1">
        <v>6.0</v>
      </c>
      <c r="B7" s="1" t="s">
        <v>26</v>
      </c>
      <c r="C7" s="1"/>
      <c r="D7" s="1" t="str">
        <f t="shared" si="1"/>
        <v>71</v>
      </c>
      <c r="E7" s="5">
        <v>44895.0</v>
      </c>
      <c r="F7" s="6">
        <f t="shared" si="2"/>
        <v>25000</v>
      </c>
      <c r="G7" s="1"/>
      <c r="H7" s="1"/>
      <c r="I7" s="7"/>
      <c r="J7" s="1"/>
    </row>
    <row r="8" ht="13.5" customHeight="1">
      <c r="A8" s="1">
        <v>7.0</v>
      </c>
      <c r="B8" s="1" t="s">
        <v>27</v>
      </c>
      <c r="C8" s="1"/>
      <c r="D8" s="1" t="str">
        <f t="shared" si="1"/>
        <v>31</v>
      </c>
      <c r="E8" s="5">
        <v>44924.0</v>
      </c>
      <c r="F8" s="6">
        <f t="shared" si="2"/>
        <v>140000</v>
      </c>
      <c r="G8" s="1"/>
      <c r="H8" s="1"/>
      <c r="I8" s="7"/>
      <c r="J8" s="1"/>
    </row>
    <row r="9" ht="13.5" customHeight="1">
      <c r="A9" s="1">
        <v>8.0</v>
      </c>
      <c r="B9" s="1" t="s">
        <v>28</v>
      </c>
      <c r="C9" s="1"/>
      <c r="D9" s="1" t="str">
        <f t="shared" si="1"/>
        <v>51</v>
      </c>
      <c r="E9" s="5">
        <v>44926.0</v>
      </c>
      <c r="F9" s="6">
        <f t="shared" si="2"/>
        <v>140000</v>
      </c>
      <c r="G9" s="1"/>
      <c r="H9" s="1"/>
      <c r="I9" s="7"/>
      <c r="J9" s="1"/>
    </row>
    <row r="10" ht="13.5" customHeight="1">
      <c r="A10" s="1">
        <v>9.0</v>
      </c>
      <c r="B10" s="1" t="s">
        <v>29</v>
      </c>
      <c r="C10" s="1"/>
      <c r="D10" s="1" t="str">
        <f t="shared" si="1"/>
        <v>12</v>
      </c>
      <c r="E10" s="5">
        <v>44915.0</v>
      </c>
      <c r="F10" s="6">
        <f t="shared" si="2"/>
        <v>25000</v>
      </c>
      <c r="G10" s="1"/>
      <c r="H10" s="1"/>
      <c r="I10" s="7"/>
      <c r="J10" s="1"/>
    </row>
    <row r="11" ht="13.5" customHeight="1">
      <c r="A11" s="1">
        <v>10.0</v>
      </c>
      <c r="B11" s="1" t="s">
        <v>30</v>
      </c>
      <c r="C11" s="1"/>
      <c r="D11" s="1" t="str">
        <f t="shared" si="1"/>
        <v>33</v>
      </c>
      <c r="E11" s="5">
        <v>44880.0</v>
      </c>
      <c r="F11" s="6">
        <f t="shared" si="2"/>
        <v>350000</v>
      </c>
      <c r="G11" s="1"/>
      <c r="H11" s="1"/>
      <c r="I11" s="7"/>
      <c r="J11" s="1"/>
    </row>
    <row r="12" ht="13.5" customHeight="1"/>
    <row r="13" ht="13.5" customHeight="1"/>
    <row r="14" ht="13.5" customHeight="1">
      <c r="B14" s="8" t="s">
        <v>31</v>
      </c>
    </row>
    <row r="15" ht="13.5" customHeight="1">
      <c r="B15" s="8" t="s">
        <v>32</v>
      </c>
    </row>
    <row r="16" ht="13.5" customHeight="1">
      <c r="B16" s="8" t="s">
        <v>33</v>
      </c>
    </row>
    <row r="17" ht="13.5" customHeight="1">
      <c r="B17" s="8" t="s">
        <v>34</v>
      </c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L1:O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2023-11-15T10:49:36Z</dcterms:created>
  <dc:creator>Nhân Trần</dc:creator>
</cp:coreProperties>
</file>